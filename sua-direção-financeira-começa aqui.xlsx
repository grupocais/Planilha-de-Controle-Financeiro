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Aqui" sheetId="1" r:id="rId4"/>
    <sheet state="visible" name="Meu Mês" sheetId="2" r:id="rId5"/>
    <sheet state="visible" name="Meu Painel" sheetId="3" r:id="rId6"/>
  </sheets>
  <definedNames/>
  <calcPr/>
  <extLst>
    <ext uri="GoogleSheetsCustomDataVersion2">
      <go:sheetsCustomData xmlns:go="http://customooxmlschemas.google.com/" r:id="rId7" roundtripDataChecksum="g3rEamdGTHi4iWNicHiTWbjWPh7GgAoaFUfWRfTVq6g="/>
    </ext>
  </extLst>
</workbook>
</file>

<file path=xl/sharedStrings.xml><?xml version="1.0" encoding="utf-8"?>
<sst xmlns="http://schemas.openxmlformats.org/spreadsheetml/2006/main" count="146" uniqueCount="98">
  <si>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</si>
  <si>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</si>
  <si>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</si>
  <si>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</si>
  <si>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</si>
  <si>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</si>
  <si>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</si>
  <si>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</si>
  <si>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</si>
  <si>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</si>
  <si>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</si>
  <si>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</si>
  <si>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</si>
  <si>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Média</t>
  </si>
  <si>
    <t>ENTRADAS</t>
  </si>
  <si>
    <t>Salário</t>
  </si>
  <si>
    <t>Pró-labore, CLT, principal</t>
  </si>
  <si>
    <t>Renda extra</t>
  </si>
  <si>
    <t>Freelas, comissões, bônus</t>
  </si>
  <si>
    <t>Aluguéis</t>
  </si>
  <si>
    <t>Receita de imóveis</t>
  </si>
  <si>
    <t>Outras</t>
  </si>
  <si>
    <t>Dividendos, vendas, etc.</t>
  </si>
  <si>
    <t>Subtotal</t>
  </si>
  <si>
    <t>MORADIA</t>
  </si>
  <si>
    <t>Moradia</t>
  </si>
  <si>
    <t>Aluguel ou financiamento</t>
  </si>
  <si>
    <t>Condomínio</t>
  </si>
  <si>
    <t>Contas (luz, água, gás, internet)</t>
  </si>
  <si>
    <t>Outros</t>
  </si>
  <si>
    <t>ALIMENTAÇÃO</t>
  </si>
  <si>
    <t>Alimentação</t>
  </si>
  <si>
    <t>Mercado e feira</t>
  </si>
  <si>
    <t>Restaurantes e delivery</t>
  </si>
  <si>
    <t>TRANSPORTE</t>
  </si>
  <si>
    <t>Transporte</t>
  </si>
  <si>
    <t>Combustível</t>
  </si>
  <si>
    <t>Aplicativos e estacionamento</t>
  </si>
  <si>
    <t>Manutenção e seguro</t>
  </si>
  <si>
    <t>SAÚDE E BEM-ESTAR</t>
  </si>
  <si>
    <t>Saúde</t>
  </si>
  <si>
    <t>Plano de saúde</t>
  </si>
  <si>
    <t>Farmácia e exames</t>
  </si>
  <si>
    <t>Academia, terapia, bem-estar</t>
  </si>
  <si>
    <t>EDUCAÇÃO</t>
  </si>
  <si>
    <t>Educação</t>
  </si>
  <si>
    <t>Escola, faculdade, MBA</t>
  </si>
  <si>
    <t>Cursos e livros</t>
  </si>
  <si>
    <t>LAZER E PESSOAL</t>
  </si>
  <si>
    <t>Lazer</t>
  </si>
  <si>
    <t>Streaming e assinaturas</t>
  </si>
  <si>
    <t>Viagens</t>
  </si>
  <si>
    <t>Compras pessoais</t>
  </si>
  <si>
    <t>OUTROS</t>
  </si>
  <si>
    <t>Impostos e taxas</t>
  </si>
  <si>
    <t>Doações</t>
  </si>
  <si>
    <t>Outras despesas</t>
  </si>
  <si>
    <t>TOTAL DE SAÍDAS</t>
  </si>
  <si>
    <t>INVESTIMENTOS</t>
  </si>
  <si>
    <t>Investimentos</t>
  </si>
  <si>
    <t>Aporte mensal</t>
  </si>
  <si>
    <t>Reserva de emergência</t>
  </si>
  <si>
    <t>Outros aportes</t>
  </si>
  <si>
    <t>RESUMO DO ANO</t>
  </si>
  <si>
    <t>Sobrou</t>
  </si>
  <si>
    <t>Entradas - Saídas - Investido</t>
  </si>
  <si>
    <t>% Investido</t>
  </si>
  <si>
    <t>Aporte / Entradas</t>
  </si>
  <si>
    <t>SAÍDAS</t>
  </si>
  <si>
    <t>INVESTIDO</t>
  </si>
  <si>
    <t>SOBROU</t>
  </si>
  <si>
    <t>Distribuição das despesas (ano)</t>
  </si>
  <si>
    <t>Evolução mensal</t>
  </si>
  <si>
    <t>Categoria</t>
  </si>
  <si>
    <t>Total</t>
  </si>
  <si>
    <t>%</t>
  </si>
  <si>
    <t>Mês</t>
  </si>
  <si>
    <t>Entradas</t>
  </si>
  <si>
    <t>Saídas</t>
  </si>
  <si>
    <t>Saúde e Bem-estar</t>
  </si>
  <si>
    <t>Lazer e Pessoal</t>
  </si>
  <si>
    <t>O que sobrou no seu bolso</t>
  </si>
  <si>
    <t>Análise do que entrou, saiu e como você usou a sobra ao longo do ano</t>
  </si>
  <si>
    <t>Sobra do ano</t>
  </si>
  <si>
    <t>Taxa de poupança</t>
  </si>
  <si>
    <t>% investido da sobra</t>
  </si>
  <si>
    <t>Sobra média / mês</t>
  </si>
  <si>
    <t>Quanto sobrou após as despesas</t>
  </si>
  <si>
    <t>Sobra ÷ Entradas</t>
  </si>
  <si>
    <t>O quanto da sobra virou investimento</t>
  </si>
  <si>
    <t>Média mensal disponível</t>
  </si>
  <si>
    <t>Diagnóstico</t>
  </si>
  <si>
    <t>Saúde financeira:</t>
  </si>
  <si>
    <t>Aproveitamento da sobra:</t>
  </si>
  <si>
    <t>Melhor mês (mais sobra):</t>
  </si>
  <si>
    <t>Pior mês (menos sobra):</t>
  </si>
  <si>
    <t>Maior categoria de gasto:</t>
  </si>
  <si>
    <t>CAIS INVESTIMENTOS  ·  O norte dos seus Investimentos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</si>
</sst>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$ &quot;* #,##0.00_-;&quot;-R$ &quot;* #,##0.00_-;_-&quot;R$ &quot;* \-??_-;_-@"/>
    <numFmt numFmtId="165" formatCode="_-&quot;R$ &quot;* #,##0_-;&quot;-R$ &quot;* #,##0_-;_-&quot;R$ &quot;* \-??_-;_-@"/>
    <numFmt numFmtId="166" formatCode="0.0%"/>
    <numFmt numFmtId="167" formatCode="&quot;R$ &quot;#,##0"/>
    <numFmt numFmtId="168" formatCode="&quot;R$ &quot;#,##0;[Red]\(&quot;R$ &quot;#,##0\);\-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081421"/>
      <name val="Calibri"/>
    </font>
    <font>
      <i/>
      <sz val="10.0"/>
      <color rgb="FF666666"/>
      <name val="Calibri"/>
    </font>
    <font>
      <b/>
      <sz val="11.0"/>
      <color rgb="FFFCFCFC"/>
      <name val="Calibri"/>
    </font>
    <font>
      <b/>
      <sz val="12.0"/>
      <color rgb="FFFCFCFC"/>
      <name val="Calibri"/>
    </font>
    <font/>
    <font>
      <b/>
      <sz val="10.0"/>
      <color rgb="FF081421"/>
      <name val="Calibri"/>
    </font>
    <font>
      <sz val="10.0"/>
      <color rgb="FF555555"/>
      <name val="Calibri"/>
    </font>
    <font>
      <sz val="10.0"/>
      <color rgb="FF0000FF"/>
      <name val="Calibri"/>
    </font>
    <font>
      <sz val="10.0"/>
      <color rgb="FF081421"/>
      <name val="Calibri"/>
    </font>
    <font>
      <b/>
      <sz val="11.0"/>
      <color rgb="FF081421"/>
      <name val="Calibri"/>
    </font>
    <font>
      <b/>
      <sz val="12.0"/>
      <color rgb="FF081421"/>
      <name val="Calibri"/>
    </font>
    <font>
      <b/>
      <sz val="14.0"/>
      <color rgb="FFFCFCFC"/>
      <name val="Calibri"/>
    </font>
    <font>
      <i/>
      <sz val="10.0"/>
      <color rgb="FF555555"/>
      <name val="Calibri"/>
    </font>
    <font>
      <sz val="10.0"/>
      <color rgb="FFFCFCFC"/>
      <name val="Calibri"/>
    </font>
    <font>
      <b/>
      <sz val="18.0"/>
      <color rgb="FFFCFCFC"/>
      <name val="Calibri"/>
    </font>
    <font>
      <b/>
      <sz val="14.0"/>
      <color rgb="FF081421"/>
      <name val="Calibri"/>
    </font>
    <font>
      <b/>
      <sz val="10.0"/>
      <color rgb="FFFCFCFC"/>
      <name val="Calibri"/>
    </font>
    <font>
      <b/>
      <sz val="16.0"/>
      <color rgb="FF081421"/>
      <name val="Calibri"/>
    </font>
    <font>
      <b/>
      <sz val="16.0"/>
      <color rgb="FFFCFCFC"/>
      <name val="Calibri"/>
    </font>
    <font>
      <i/>
      <sz val="9.0"/>
      <color rgb="FF555555"/>
      <name val="Calibri"/>
    </font>
    <font>
      <sz val="18.0"/>
      <color rgb="FFFCFCFC"/>
      <name val="Calibri"/>
    </font>
    <font>
      <b/>
      <i/>
      <sz val="11.0"/>
      <color rgb="FFD9BD7E"/>
      <name val="Calibri"/>
    </font>
    <font>
      <b/>
      <sz val="11.0"/>
      <color rgb="FF2D8B57"/>
      <name val="Calibri"/>
    </font>
    <font>
      <b/>
      <sz val="11.0"/>
      <color rgb="FFB23B3B"/>
      <name val="Calibri"/>
    </font>
    <font>
      <i/>
      <sz val="11.0"/>
      <color rgb="FF555555"/>
      <name val="Calibri"/>
    </font>
    <font>
      <i/>
      <sz val="10.0"/>
      <color rgb="FFD9BD7E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41422"/>
        <bgColor rgb="FF041422"/>
      </patternFill>
    </fill>
    <fill>
      <patternFill patternType="solid">
        <fgColor rgb="FF081421"/>
        <bgColor rgb="FF081421"/>
      </patternFill>
    </fill>
    <fill>
      <patternFill patternType="solid">
        <fgColor rgb="FFFFF8DE"/>
        <bgColor rgb="FFFFF8DE"/>
      </patternFill>
    </fill>
    <fill>
      <patternFill patternType="solid">
        <fgColor rgb="FFEFEFEF"/>
        <bgColor rgb="FFEFEFEF"/>
      </patternFill>
    </fill>
    <fill>
      <patternFill patternType="solid">
        <fgColor rgb="FFD9BD7E"/>
        <bgColor rgb="FFD9BD7E"/>
      </patternFill>
    </fill>
    <fill>
      <patternFill patternType="solid">
        <fgColor rgb="FF003B5C"/>
        <bgColor rgb="FF003B5C"/>
      </patternFill>
    </fill>
    <fill>
      <patternFill patternType="solid">
        <fgColor rgb="FFB23B3B"/>
        <bgColor rgb="FFB23B3B"/>
      </patternFill>
    </fill>
    <fill>
      <patternFill patternType="solid">
        <fgColor theme="0"/>
        <bgColor theme="0"/>
      </patternFill>
    </fill>
    <fill>
      <patternFill patternType="solid">
        <fgColor rgb="FF2D8B57"/>
        <bgColor rgb="FF2D8B57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5" fillId="4" fontId="9" numFmtId="164" xfId="0" applyAlignment="1" applyBorder="1" applyFill="1" applyFont="1" applyNumberFormat="1">
      <alignment horizontal="right" vertical="center"/>
    </xf>
    <xf borderId="1" fillId="5" fontId="7" numFmtId="165" xfId="0" applyAlignment="1" applyBorder="1" applyFill="1" applyFont="1" applyNumberFormat="1">
      <alignment horizontal="right" vertical="center"/>
    </xf>
    <xf borderId="1" fillId="5" fontId="10" numFmtId="165" xfId="0" applyAlignment="1" applyBorder="1" applyFont="1" applyNumberFormat="1">
      <alignment horizontal="right" vertical="center"/>
    </xf>
    <xf borderId="1" fillId="6" fontId="4" numFmtId="0" xfId="0" applyAlignment="1" applyBorder="1" applyFill="1" applyFont="1">
      <alignment horizontal="left" vertical="center"/>
    </xf>
    <xf borderId="1" fillId="6" fontId="1" numFmtId="0" xfId="0" applyBorder="1" applyFont="1"/>
    <xf borderId="1" fillId="6" fontId="4" numFmtId="165" xfId="0" applyAlignment="1" applyBorder="1" applyFont="1" applyNumberFormat="1">
      <alignment horizontal="right" vertical="center"/>
    </xf>
    <xf borderId="2" fillId="7" fontId="5" numFmtId="0" xfId="0" applyAlignment="1" applyBorder="1" applyFill="1" applyFont="1">
      <alignment horizontal="left" vertical="center"/>
    </xf>
    <xf borderId="1" fillId="5" fontId="11" numFmtId="0" xfId="0" applyAlignment="1" applyBorder="1" applyFont="1">
      <alignment horizontal="left" vertical="center"/>
    </xf>
    <xf borderId="1" fillId="5" fontId="1" numFmtId="0" xfId="0" applyBorder="1" applyFont="1"/>
    <xf borderId="1" fillId="5" fontId="11" numFmtId="165" xfId="0" applyAlignment="1" applyBorder="1" applyFont="1" applyNumberFormat="1">
      <alignment horizontal="right" vertical="center"/>
    </xf>
    <xf borderId="1" fillId="8" fontId="5" numFmtId="0" xfId="0" applyAlignment="1" applyBorder="1" applyFill="1" applyFont="1">
      <alignment horizontal="left" vertical="center"/>
    </xf>
    <xf borderId="1" fillId="8" fontId="1" numFmtId="0" xfId="0" applyBorder="1" applyFont="1"/>
    <xf borderId="1" fillId="8" fontId="5" numFmtId="165" xfId="0" applyAlignment="1" applyBorder="1" applyFont="1" applyNumberFormat="1">
      <alignment horizontal="right" vertical="center"/>
    </xf>
    <xf borderId="2" fillId="6" fontId="12" numFmtId="0" xfId="0" applyAlignment="1" applyBorder="1" applyFont="1">
      <alignment horizontal="left" vertical="center"/>
    </xf>
    <xf borderId="1" fillId="3" fontId="13" numFmtId="0" xfId="0" applyAlignment="1" applyBorder="1" applyFont="1">
      <alignment horizontal="left" vertical="center"/>
    </xf>
    <xf borderId="1" fillId="3" fontId="1" numFmtId="0" xfId="0" applyBorder="1" applyFont="1"/>
    <xf borderId="0" fillId="0" fontId="11" numFmtId="0" xfId="0" applyFont="1"/>
    <xf borderId="0" fillId="0" fontId="14" numFmtId="0" xfId="0" applyFont="1"/>
    <xf borderId="1" fillId="6" fontId="11" numFmtId="165" xfId="0" applyAlignment="1" applyBorder="1" applyFont="1" applyNumberFormat="1">
      <alignment horizontal="right" vertical="center"/>
    </xf>
    <xf borderId="1" fillId="5" fontId="11" numFmtId="166" xfId="0" applyAlignment="1" applyBorder="1" applyFont="1" applyNumberFormat="1">
      <alignment horizontal="right" vertical="center"/>
    </xf>
    <xf borderId="1" fillId="6" fontId="11" numFmtId="166" xfId="0" applyAlignment="1" applyBorder="1" applyFont="1" applyNumberFormat="1">
      <alignment horizontal="right" vertical="center"/>
    </xf>
    <xf borderId="1" fillId="9" fontId="1" numFmtId="0" xfId="0" applyBorder="1" applyFill="1" applyFont="1"/>
    <xf borderId="0" fillId="0" fontId="1" numFmtId="0" xfId="0" applyFont="1"/>
    <xf borderId="2" fillId="7" fontId="15" numFmtId="0" xfId="0" applyAlignment="1" applyBorder="1" applyFont="1">
      <alignment horizontal="center"/>
    </xf>
    <xf borderId="2" fillId="8" fontId="15" numFmtId="0" xfId="0" applyAlignment="1" applyBorder="1" applyFont="1">
      <alignment horizontal="center"/>
    </xf>
    <xf borderId="2" fillId="6" fontId="15" numFmtId="0" xfId="0" applyAlignment="1" applyBorder="1" applyFont="1">
      <alignment horizontal="center"/>
    </xf>
    <xf borderId="1" fillId="10" fontId="15" numFmtId="0" xfId="0" applyAlignment="1" applyBorder="1" applyFill="1" applyFont="1">
      <alignment horizontal="center"/>
    </xf>
    <xf borderId="2" fillId="7" fontId="16" numFmtId="167" xfId="0" applyAlignment="1" applyBorder="1" applyFont="1" applyNumberFormat="1">
      <alignment horizontal="center" vertical="center"/>
    </xf>
    <xf borderId="2" fillId="8" fontId="16" numFmtId="167" xfId="0" applyAlignment="1" applyBorder="1" applyFont="1" applyNumberFormat="1">
      <alignment horizontal="center" vertical="center"/>
    </xf>
    <xf borderId="2" fillId="6" fontId="16" numFmtId="167" xfId="0" applyAlignment="1" applyBorder="1" applyFont="1" applyNumberFormat="1">
      <alignment horizontal="center" vertical="center"/>
    </xf>
    <xf borderId="1" fillId="10" fontId="16" numFmtId="167" xfId="0" applyAlignment="1" applyBorder="1" applyFont="1" applyNumberFormat="1">
      <alignment horizontal="center" vertical="center"/>
    </xf>
    <xf borderId="0" fillId="0" fontId="17" numFmtId="0" xfId="0" applyFont="1"/>
    <xf borderId="1" fillId="2" fontId="18" numFmtId="0" xfId="0" applyAlignment="1" applyBorder="1" applyFont="1">
      <alignment horizontal="left" vertical="center"/>
    </xf>
    <xf borderId="1" fillId="2" fontId="18" numFmtId="0" xfId="0" applyAlignment="1" applyBorder="1" applyFont="1">
      <alignment horizontal="right" vertical="center"/>
    </xf>
    <xf borderId="0" fillId="0" fontId="10" numFmtId="0" xfId="0" applyAlignment="1" applyFont="1">
      <alignment horizontal="left" vertical="center"/>
    </xf>
    <xf borderId="1" fillId="4" fontId="10" numFmtId="167" xfId="0" applyAlignment="1" applyBorder="1" applyFont="1" applyNumberFormat="1">
      <alignment horizontal="right" vertical="center"/>
    </xf>
    <xf borderId="0" fillId="0" fontId="10" numFmtId="166" xfId="0" applyAlignment="1" applyFont="1" applyNumberFormat="1">
      <alignment horizontal="right" vertical="center"/>
    </xf>
    <xf borderId="0" fillId="0" fontId="10" numFmtId="167" xfId="0" applyAlignment="1" applyFont="1" applyNumberFormat="1">
      <alignment horizontal="right" vertical="center"/>
    </xf>
    <xf borderId="1" fillId="5" fontId="10" numFmtId="0" xfId="0" applyAlignment="1" applyBorder="1" applyFont="1">
      <alignment horizontal="left" vertical="center"/>
    </xf>
    <xf borderId="1" fillId="5" fontId="10" numFmtId="166" xfId="0" applyAlignment="1" applyBorder="1" applyFont="1" applyNumberFormat="1">
      <alignment horizontal="right" vertical="center"/>
    </xf>
    <xf borderId="1" fillId="5" fontId="10" numFmtId="167" xfId="0" applyAlignment="1" applyBorder="1" applyFont="1" applyNumberFormat="1">
      <alignment horizontal="right" vertical="center"/>
    </xf>
    <xf borderId="1" fillId="11" fontId="19" numFmtId="0" xfId="0" applyBorder="1" applyFill="1" applyFont="1"/>
    <xf borderId="1" fillId="11" fontId="14" numFmtId="0" xfId="0" applyBorder="1" applyFont="1"/>
    <xf borderId="1" fillId="7" fontId="15" numFmtId="0" xfId="0" applyAlignment="1" applyBorder="1" applyFont="1">
      <alignment horizontal="center"/>
    </xf>
    <xf borderId="1" fillId="10" fontId="20" numFmtId="168" xfId="0" applyAlignment="1" applyBorder="1" applyFont="1" applyNumberFormat="1">
      <alignment horizontal="center"/>
    </xf>
    <xf borderId="1" fillId="10" fontId="20" numFmtId="166" xfId="0" applyAlignment="1" applyBorder="1" applyFont="1" applyNumberFormat="1">
      <alignment horizontal="center"/>
    </xf>
    <xf borderId="1" fillId="6" fontId="20" numFmtId="166" xfId="0" applyAlignment="1" applyBorder="1" applyFont="1" applyNumberFormat="1">
      <alignment horizontal="center"/>
    </xf>
    <xf borderId="1" fillId="7" fontId="20" numFmtId="168" xfId="0" applyAlignment="1" applyBorder="1" applyFont="1" applyNumberFormat="1">
      <alignment horizontal="center"/>
    </xf>
    <xf borderId="1" fillId="11" fontId="21" numFmtId="0" xfId="0" applyAlignment="1" applyBorder="1" applyFont="1">
      <alignment horizontal="center"/>
    </xf>
    <xf borderId="2" fillId="3" fontId="22" numFmtId="0" xfId="0" applyAlignment="1" applyBorder="1" applyFont="1">
      <alignment horizontal="center" vertical="center"/>
    </xf>
    <xf borderId="1" fillId="11" fontId="8" numFmtId="0" xfId="0" applyBorder="1" applyFont="1"/>
    <xf borderId="1" fillId="11" fontId="23" numFmtId="0" xfId="0" applyBorder="1" applyFont="1"/>
    <xf borderId="1" fillId="11" fontId="24" numFmtId="0" xfId="0" applyBorder="1" applyFont="1"/>
    <xf borderId="1" fillId="11" fontId="25" numFmtId="0" xfId="0" applyBorder="1" applyFont="1"/>
    <xf borderId="1" fillId="11" fontId="11" numFmtId="0" xfId="0" applyBorder="1" applyFont="1"/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81421"/>
                </a:solidFill>
                <a:latin typeface="Calibri"/>
              </a:defRPr>
            </a:pPr>
            <a:r>
              <a:rPr b="1" i="0" sz="1800">
                <a:solidFill>
                  <a:srgbClr val="081421"/>
                </a:solidFill>
                <a:latin typeface="Calibri"/>
              </a:rPr>
              <a:t>Entradas vs Saídas (mês a mês)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Entradas</c:v>
          </c:tx>
          <c:spPr>
            <a:solidFill>
              <a:srgbClr val="003B5C"/>
            </a:solidFill>
            <a:ln cmpd="sng">
              <a:solidFill>
                <a:srgbClr val="000000"/>
              </a:solidFill>
            </a:ln>
          </c:spPr>
          <c:cat>
            <c:strRef>
              <c:f>'Meu Painel'!$F$11:$F$22</c:f>
            </c:strRef>
          </c:cat>
          <c:val>
            <c:numRef>
              <c:f>'Meu Painel'!$G$11:$G$22</c:f>
              <c:numCache/>
            </c:numRef>
          </c:val>
        </c:ser>
        <c:ser>
          <c:idx val="1"/>
          <c:order val="1"/>
          <c:tx>
            <c:v>Saídas</c:v>
          </c:tx>
          <c:spPr>
            <a:solidFill>
              <a:srgbClr val="D9BD7E"/>
            </a:solidFill>
            <a:ln cmpd="sng">
              <a:solidFill>
                <a:srgbClr val="000000"/>
              </a:solidFill>
            </a:ln>
          </c:spPr>
          <c:cat>
            <c:strRef>
              <c:f>'Meu Painel'!$F$11:$F$22</c:f>
            </c:strRef>
          </c:cat>
          <c:val>
            <c:numRef>
              <c:f>'Meu Painel'!$H$11:$H$22</c:f>
              <c:numCache/>
            </c:numRef>
          </c:val>
        </c:ser>
        <c:axId val="1383401315"/>
        <c:axId val="1389762375"/>
      </c:barChart>
      <c:catAx>
        <c:axId val="1383401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808080"/>
                </a:solidFill>
                <a:latin typeface="Calibri"/>
              </a:defRPr>
            </a:pPr>
          </a:p>
        </c:txPr>
        <c:crossAx val="1389762375"/>
      </c:catAx>
      <c:valAx>
        <c:axId val="138976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808080"/>
                </a:solidFill>
                <a:latin typeface="Calibri"/>
              </a:defRPr>
            </a:pPr>
          </a:p>
        </c:txPr>
        <c:crossAx val="138340131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81421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81421"/>
                </a:solidFill>
                <a:latin typeface="Calibri"/>
              </a:defRPr>
            </a:pPr>
            <a:r>
              <a:rPr b="1" i="0" sz="1200">
                <a:solidFill>
                  <a:srgbClr val="081421"/>
                </a:solidFill>
                <a:latin typeface="Calibri"/>
              </a:rPr>
              <a:t>Onde foi o seu dinheiro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81421"/>
              </a:solidFill>
            </c:spPr>
          </c:dPt>
          <c:dPt>
            <c:idx val="1"/>
            <c:spPr>
              <a:solidFill>
                <a:srgbClr val="003B5C"/>
              </a:solidFill>
            </c:spPr>
          </c:dPt>
          <c:dPt>
            <c:idx val="2"/>
            <c:spPr>
              <a:solidFill>
                <a:srgbClr val="1F5C82"/>
              </a:solidFill>
            </c:spPr>
          </c:dPt>
          <c:dPt>
            <c:idx val="3"/>
            <c:spPr>
              <a:solidFill>
                <a:srgbClr val="3E7BA5"/>
              </a:solidFill>
            </c:spPr>
          </c:dPt>
          <c:dPt>
            <c:idx val="4"/>
            <c:spPr>
              <a:solidFill>
                <a:srgbClr val="6A9CC0"/>
              </a:solidFill>
            </c:spPr>
          </c:dPt>
          <c:dPt>
            <c:idx val="5"/>
            <c:spPr>
              <a:solidFill>
                <a:srgbClr val="9CBED9"/>
              </a:solidFill>
            </c:spPr>
          </c:dPt>
          <c:dPt>
            <c:idx val="6"/>
            <c:spPr>
              <a:solidFill>
                <a:srgbClr val="C8DBE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'Meu Painel'!$B$11:$B$17</c:f>
            </c:strRef>
          </c:cat>
          <c:val>
            <c:numRef>
              <c:f>'Meu Painel'!$C$11:$C$17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81421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30900" cy="10239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38100</xdr:rowOff>
    </xdr:from>
    <xdr:ext cx="14735175" cy="1943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22</xdr:row>
      <xdr:rowOff>19050</xdr:rowOff>
    </xdr:from>
    <xdr:ext cx="4143375" cy="3314700"/>
    <xdr:graphicFrame>
      <xdr:nvGraphicFramePr>
        <xdr:cNvPr id="14769195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695325</xdr:colOff>
      <xdr:row>22</xdr:row>
      <xdr:rowOff>76200</xdr:rowOff>
    </xdr:from>
    <xdr:ext cx="4124325" cy="3343275"/>
    <xdr:graphicFrame>
      <xdr:nvGraphicFramePr>
        <xdr:cNvPr id="43892659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53</xdr:row>
      <xdr:rowOff>142875</xdr:rowOff>
    </xdr:from>
    <xdr:ext cx="8429625" cy="3257550"/>
    <xdr:grpSp>
      <xdr:nvGrpSpPr>
        <xdr:cNvPr id="2" name="Shape 2"/>
        <xdr:cNvGrpSpPr/>
      </xdr:nvGrpSpPr>
      <xdr:grpSpPr>
        <a:xfrm>
          <a:off x="1131188" y="2151225"/>
          <a:ext cx="8429625" cy="3257550"/>
          <a:chOff x="1131188" y="2151225"/>
          <a:chExt cx="8429625" cy="3257550"/>
        </a:xfrm>
      </xdr:grpSpPr>
      <xdr:grpSp>
        <xdr:nvGrpSpPr>
          <xdr:cNvPr id="3" name="Shape 3"/>
          <xdr:cNvGrpSpPr/>
        </xdr:nvGrpSpPr>
        <xdr:grpSpPr>
          <a:xfrm>
            <a:off x="1131188" y="2151225"/>
            <a:ext cx="8429625" cy="3257550"/>
            <a:chOff x="152400" y="12385040"/>
            <a:chExt cx="9622180" cy="3094949"/>
          </a:xfrm>
        </xdr:grpSpPr>
        <xdr:sp>
          <xdr:nvSpPr>
            <xdr:cNvPr id="4" name="Shape 4"/>
            <xdr:cNvSpPr/>
          </xdr:nvSpPr>
          <xdr:spPr>
            <a:xfrm>
              <a:off x="152400" y="12385040"/>
              <a:ext cx="9622175" cy="3094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152400" y="12385040"/>
              <a:ext cx="9622180" cy="18999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152400" y="14284960"/>
              <a:ext cx="9621520" cy="119502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133350</xdr:colOff>
      <xdr:row>0</xdr:row>
      <xdr:rowOff>57150</xdr:rowOff>
    </xdr:from>
    <xdr:ext cx="8391525" cy="18859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0"/>
    <col customWidth="1" min="2" max="2" width="21.0"/>
    <col customWidth="1" min="3" max="3" width="25.71"/>
    <col customWidth="1" min="4" max="15" width="12.43"/>
    <col customWidth="1" min="16" max="16" width="13.14"/>
    <col customWidth="1" min="17" max="17" width="12.0"/>
    <col customWidth="1" min="18" max="26" width="8.71"/>
  </cols>
  <sheetData>
    <row r="1" ht="153.0" customHeight="1">
      <c r="B1" s="2"/>
      <c r="D1" s="3"/>
    </row>
    <row r="3" ht="27.75" customHeight="1">
      <c r="B3" s="4"/>
      <c r="C3" s="4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</row>
    <row r="5" ht="24.0" customHeight="1">
      <c r="B5" s="5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ht="18.75" customHeight="1">
      <c r="B6" s="8" t="s">
        <v>15</v>
      </c>
      <c r="C6" s="9" t="s">
        <v>16</v>
      </c>
      <c r="D6" s="10">
        <v>0.0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0">
        <v>0.0</v>
      </c>
      <c r="O6" s="10">
        <v>0.0</v>
      </c>
      <c r="P6" s="11">
        <f t="shared" ref="P6:P9" si="1">SUM(D6:O6)</f>
        <v>0</v>
      </c>
      <c r="Q6" s="12">
        <f t="shared" ref="Q6:Q9" si="2">IFERROR(AVERAGEIF(D6:O6,"&gt;0"),0)</f>
        <v>0</v>
      </c>
    </row>
    <row r="7" ht="18.75" customHeight="1">
      <c r="B7" s="8" t="s">
        <v>17</v>
      </c>
      <c r="C7" s="9" t="s">
        <v>18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0">
        <v>0.0</v>
      </c>
      <c r="O7" s="10">
        <v>0.0</v>
      </c>
      <c r="P7" s="11">
        <f t="shared" si="1"/>
        <v>0</v>
      </c>
      <c r="Q7" s="12">
        <f t="shared" si="2"/>
        <v>0</v>
      </c>
    </row>
    <row r="8" ht="18.75" customHeight="1">
      <c r="B8" s="8" t="s">
        <v>19</v>
      </c>
      <c r="C8" s="9" t="s">
        <v>20</v>
      </c>
      <c r="D8" s="10">
        <v>0.0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f t="shared" si="1"/>
        <v>0</v>
      </c>
      <c r="Q8" s="12">
        <f t="shared" si="2"/>
        <v>0</v>
      </c>
    </row>
    <row r="9" ht="18.75" customHeight="1">
      <c r="B9" s="8" t="s">
        <v>21</v>
      </c>
      <c r="C9" s="9" t="s">
        <v>22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1">
        <f t="shared" si="1"/>
        <v>0</v>
      </c>
      <c r="Q9" s="12">
        <f t="shared" si="2"/>
        <v>0</v>
      </c>
    </row>
    <row r="10" ht="21.75" customHeight="1">
      <c r="B10" s="13" t="s">
        <v>23</v>
      </c>
      <c r="C10" s="14"/>
      <c r="D10" s="15">
        <f t="shared" ref="D10:P10" si="3">SUM(D6:D9)</f>
        <v>0</v>
      </c>
      <c r="E10" s="15">
        <f t="shared" si="3"/>
        <v>0</v>
      </c>
      <c r="F10" s="15">
        <f t="shared" si="3"/>
        <v>0</v>
      </c>
      <c r="G10" s="15">
        <f t="shared" si="3"/>
        <v>0</v>
      </c>
      <c r="H10" s="15">
        <f t="shared" si="3"/>
        <v>0</v>
      </c>
      <c r="I10" s="15">
        <f t="shared" si="3"/>
        <v>0</v>
      </c>
      <c r="J10" s="15">
        <f t="shared" si="3"/>
        <v>0</v>
      </c>
      <c r="K10" s="15">
        <f t="shared" si="3"/>
        <v>0</v>
      </c>
      <c r="L10" s="15">
        <f t="shared" si="3"/>
        <v>0</v>
      </c>
      <c r="M10" s="15">
        <f t="shared" si="3"/>
        <v>0</v>
      </c>
      <c r="N10" s="15">
        <f t="shared" si="3"/>
        <v>0</v>
      </c>
      <c r="O10" s="15">
        <f t="shared" si="3"/>
        <v>0</v>
      </c>
      <c r="P10" s="15">
        <f t="shared" si="3"/>
        <v>0</v>
      </c>
      <c r="Q10" s="15">
        <f>IFERROR(AVERAGE(D10:O10),0)</f>
        <v>0</v>
      </c>
    </row>
    <row r="12" ht="24.0" customHeight="1">
      <c r="B12" s="16" t="s">
        <v>24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ht="18.75" customHeight="1">
      <c r="B13" s="8" t="s">
        <v>25</v>
      </c>
      <c r="C13" s="9" t="s">
        <v>26</v>
      </c>
      <c r="D13" s="10">
        <v>0.0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f t="shared" ref="P13:P16" si="4">SUM(D13:O13)</f>
        <v>0</v>
      </c>
      <c r="Q13" s="12">
        <f t="shared" ref="Q13:Q16" si="5">IFERROR(AVERAGEIF(D13:O13,"&gt;0"),0)</f>
        <v>0</v>
      </c>
    </row>
    <row r="14" ht="18.75" customHeight="1">
      <c r="B14" s="8" t="s">
        <v>25</v>
      </c>
      <c r="C14" s="9" t="s">
        <v>27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1">
        <f t="shared" si="4"/>
        <v>0</v>
      </c>
      <c r="Q14" s="12">
        <f t="shared" si="5"/>
        <v>0</v>
      </c>
    </row>
    <row r="15" ht="18.75" customHeight="1">
      <c r="B15" s="8" t="s">
        <v>25</v>
      </c>
      <c r="C15" s="9" t="s">
        <v>28</v>
      </c>
      <c r="D15" s="10">
        <v>0.0</v>
      </c>
      <c r="E15" s="10">
        <v>0.0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f t="shared" si="4"/>
        <v>0</v>
      </c>
      <c r="Q15" s="12">
        <f t="shared" si="5"/>
        <v>0</v>
      </c>
    </row>
    <row r="16" ht="18.75" customHeight="1">
      <c r="B16" s="8" t="s">
        <v>25</v>
      </c>
      <c r="C16" s="9" t="s">
        <v>29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f t="shared" si="4"/>
        <v>0</v>
      </c>
      <c r="Q16" s="12">
        <f t="shared" si="5"/>
        <v>0</v>
      </c>
    </row>
    <row r="17" ht="21.75" customHeight="1">
      <c r="B17" s="17" t="s">
        <v>23</v>
      </c>
      <c r="C17" s="18"/>
      <c r="D17" s="19">
        <f t="shared" ref="D17:P17" si="6">SUM(D13:D16)</f>
        <v>0</v>
      </c>
      <c r="E17" s="19">
        <f t="shared" si="6"/>
        <v>0</v>
      </c>
      <c r="F17" s="19">
        <f t="shared" si="6"/>
        <v>0</v>
      </c>
      <c r="G17" s="19">
        <f t="shared" si="6"/>
        <v>0</v>
      </c>
      <c r="H17" s="19">
        <f t="shared" si="6"/>
        <v>0</v>
      </c>
      <c r="I17" s="19">
        <f t="shared" si="6"/>
        <v>0</v>
      </c>
      <c r="J17" s="19">
        <f t="shared" si="6"/>
        <v>0</v>
      </c>
      <c r="K17" s="19">
        <f t="shared" si="6"/>
        <v>0</v>
      </c>
      <c r="L17" s="19">
        <f t="shared" si="6"/>
        <v>0</v>
      </c>
      <c r="M17" s="19">
        <f t="shared" si="6"/>
        <v>0</v>
      </c>
      <c r="N17" s="19">
        <f t="shared" si="6"/>
        <v>0</v>
      </c>
      <c r="O17" s="19">
        <f t="shared" si="6"/>
        <v>0</v>
      </c>
      <c r="P17" s="19">
        <f t="shared" si="6"/>
        <v>0</v>
      </c>
      <c r="Q17" s="19">
        <f>IFERROR(AVERAGE(D17:O17),0)</f>
        <v>0</v>
      </c>
    </row>
    <row r="19" ht="24.0" customHeight="1">
      <c r="B19" s="16" t="s">
        <v>30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ht="18.75" customHeight="1">
      <c r="B20" s="8" t="s">
        <v>31</v>
      </c>
      <c r="C20" s="9" t="s">
        <v>32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1">
        <f t="shared" ref="P20:P22" si="7">SUM(D20:O20)</f>
        <v>0</v>
      </c>
      <c r="Q20" s="12">
        <f t="shared" ref="Q20:Q22" si="8">IFERROR(AVERAGEIF(D20:O20,"&gt;0"),0)</f>
        <v>0</v>
      </c>
    </row>
    <row r="21" ht="18.75" customHeight="1">
      <c r="B21" s="8" t="s">
        <v>31</v>
      </c>
      <c r="C21" s="9" t="s">
        <v>33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1">
        <f t="shared" si="7"/>
        <v>0</v>
      </c>
      <c r="Q21" s="12">
        <f t="shared" si="8"/>
        <v>0</v>
      </c>
    </row>
    <row r="22" ht="18.75" customHeight="1">
      <c r="B22" s="8" t="s">
        <v>31</v>
      </c>
      <c r="C22" s="9" t="s">
        <v>29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f t="shared" si="7"/>
        <v>0</v>
      </c>
      <c r="Q22" s="12">
        <f t="shared" si="8"/>
        <v>0</v>
      </c>
    </row>
    <row r="23" ht="21.75" customHeight="1">
      <c r="B23" s="17" t="s">
        <v>23</v>
      </c>
      <c r="C23" s="18"/>
      <c r="D23" s="19">
        <f t="shared" ref="D23:P23" si="9">SUM(D20:D22)</f>
        <v>0</v>
      </c>
      <c r="E23" s="19">
        <f t="shared" si="9"/>
        <v>0</v>
      </c>
      <c r="F23" s="19">
        <f t="shared" si="9"/>
        <v>0</v>
      </c>
      <c r="G23" s="19">
        <f t="shared" si="9"/>
        <v>0</v>
      </c>
      <c r="H23" s="19">
        <f t="shared" si="9"/>
        <v>0</v>
      </c>
      <c r="I23" s="19">
        <f t="shared" si="9"/>
        <v>0</v>
      </c>
      <c r="J23" s="19">
        <f t="shared" si="9"/>
        <v>0</v>
      </c>
      <c r="K23" s="19">
        <f t="shared" si="9"/>
        <v>0</v>
      </c>
      <c r="L23" s="19">
        <f t="shared" si="9"/>
        <v>0</v>
      </c>
      <c r="M23" s="19">
        <f t="shared" si="9"/>
        <v>0</v>
      </c>
      <c r="N23" s="19">
        <f t="shared" si="9"/>
        <v>0</v>
      </c>
      <c r="O23" s="19">
        <f t="shared" si="9"/>
        <v>0</v>
      </c>
      <c r="P23" s="19">
        <f t="shared" si="9"/>
        <v>0</v>
      </c>
      <c r="Q23" s="19">
        <f>IFERROR(AVERAGE(D23:O23),0)</f>
        <v>0</v>
      </c>
    </row>
    <row r="24" ht="15.75" customHeight="1"/>
    <row r="25" ht="24.0" customHeight="1">
      <c r="B25" s="16" t="s">
        <v>34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7"/>
    </row>
    <row r="26" ht="18.75" customHeight="1">
      <c r="B26" s="8" t="s">
        <v>35</v>
      </c>
      <c r="C26" s="9" t="s">
        <v>36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f t="shared" ref="P26:P29" si="10">SUM(D26:O26)</f>
        <v>0</v>
      </c>
      <c r="Q26" s="12">
        <f t="shared" ref="Q26:Q29" si="11">IFERROR(AVERAGEIF(D26:O26,"&gt;0"),0)</f>
        <v>0</v>
      </c>
    </row>
    <row r="27" ht="18.75" customHeight="1">
      <c r="B27" s="8" t="s">
        <v>35</v>
      </c>
      <c r="C27" s="9" t="s">
        <v>37</v>
      </c>
      <c r="D27" s="10">
        <v>0.0</v>
      </c>
      <c r="E27" s="10">
        <v>0.0</v>
      </c>
      <c r="F27" s="10">
        <v>0.0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f t="shared" si="10"/>
        <v>0</v>
      </c>
      <c r="Q27" s="12">
        <f t="shared" si="11"/>
        <v>0</v>
      </c>
    </row>
    <row r="28" ht="18.75" customHeight="1">
      <c r="B28" s="8" t="s">
        <v>35</v>
      </c>
      <c r="C28" s="9" t="s">
        <v>38</v>
      </c>
      <c r="D28" s="10">
        <v>0.0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f t="shared" si="10"/>
        <v>0</v>
      </c>
      <c r="Q28" s="12">
        <f t="shared" si="11"/>
        <v>0</v>
      </c>
    </row>
    <row r="29" ht="18.75" customHeight="1">
      <c r="B29" s="8" t="s">
        <v>35</v>
      </c>
      <c r="C29" s="9" t="s">
        <v>29</v>
      </c>
      <c r="D29" s="10">
        <v>0.0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f t="shared" si="10"/>
        <v>0</v>
      </c>
      <c r="Q29" s="12">
        <f t="shared" si="11"/>
        <v>0</v>
      </c>
    </row>
    <row r="30" ht="21.75" customHeight="1">
      <c r="B30" s="17" t="s">
        <v>23</v>
      </c>
      <c r="C30" s="18"/>
      <c r="D30" s="19">
        <f t="shared" ref="D30:P30" si="12">SUM(D26:D29)</f>
        <v>0</v>
      </c>
      <c r="E30" s="19">
        <f t="shared" si="12"/>
        <v>0</v>
      </c>
      <c r="F30" s="19">
        <f t="shared" si="12"/>
        <v>0</v>
      </c>
      <c r="G30" s="19">
        <f t="shared" si="12"/>
        <v>0</v>
      </c>
      <c r="H30" s="19">
        <f t="shared" si="12"/>
        <v>0</v>
      </c>
      <c r="I30" s="19">
        <f t="shared" si="12"/>
        <v>0</v>
      </c>
      <c r="J30" s="19">
        <f t="shared" si="12"/>
        <v>0</v>
      </c>
      <c r="K30" s="19">
        <f t="shared" si="12"/>
        <v>0</v>
      </c>
      <c r="L30" s="19">
        <f t="shared" si="12"/>
        <v>0</v>
      </c>
      <c r="M30" s="19">
        <f t="shared" si="12"/>
        <v>0</v>
      </c>
      <c r="N30" s="19">
        <f t="shared" si="12"/>
        <v>0</v>
      </c>
      <c r="O30" s="19">
        <f t="shared" si="12"/>
        <v>0</v>
      </c>
      <c r="P30" s="19">
        <f t="shared" si="12"/>
        <v>0</v>
      </c>
      <c r="Q30" s="19">
        <f>IFERROR(AVERAGE(D30:O30),0)</f>
        <v>0</v>
      </c>
    </row>
    <row r="31" ht="15.75" customHeight="1"/>
    <row r="32" ht="24.0" customHeight="1">
      <c r="B32" s="16" t="s">
        <v>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7"/>
    </row>
    <row r="33" ht="18.75" customHeight="1">
      <c r="B33" s="8" t="s">
        <v>40</v>
      </c>
      <c r="C33" s="9" t="s">
        <v>41</v>
      </c>
      <c r="D33" s="10">
        <v>0.0</v>
      </c>
      <c r="E33" s="10">
        <v>0.0</v>
      </c>
      <c r="F33" s="10">
        <v>0.0</v>
      </c>
      <c r="G33" s="10">
        <v>0.0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f t="shared" ref="P33:P35" si="13">SUM(D33:O33)</f>
        <v>0</v>
      </c>
      <c r="Q33" s="12">
        <f t="shared" ref="Q33:Q35" si="14">IFERROR(AVERAGEIF(D33:O33,"&gt;0"),0)</f>
        <v>0</v>
      </c>
    </row>
    <row r="34" ht="18.75" customHeight="1">
      <c r="B34" s="8" t="s">
        <v>40</v>
      </c>
      <c r="C34" s="9" t="s">
        <v>42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1">
        <f t="shared" si="13"/>
        <v>0</v>
      </c>
      <c r="Q34" s="12">
        <f t="shared" si="14"/>
        <v>0</v>
      </c>
    </row>
    <row r="35" ht="18.75" customHeight="1">
      <c r="B35" s="8" t="s">
        <v>40</v>
      </c>
      <c r="C35" s="9" t="s">
        <v>43</v>
      </c>
      <c r="D35" s="10">
        <v>0.0</v>
      </c>
      <c r="E35" s="10">
        <v>0.0</v>
      </c>
      <c r="F35" s="10">
        <v>0.0</v>
      </c>
      <c r="G35" s="10">
        <v>0.0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1">
        <f t="shared" si="13"/>
        <v>0</v>
      </c>
      <c r="Q35" s="12">
        <f t="shared" si="14"/>
        <v>0</v>
      </c>
    </row>
    <row r="36" ht="21.75" customHeight="1">
      <c r="B36" s="17" t="s">
        <v>23</v>
      </c>
      <c r="C36" s="18"/>
      <c r="D36" s="19">
        <f t="shared" ref="D36:P36" si="15">SUM(D33:D35)</f>
        <v>0</v>
      </c>
      <c r="E36" s="19">
        <f t="shared" si="15"/>
        <v>0</v>
      </c>
      <c r="F36" s="19">
        <f t="shared" si="15"/>
        <v>0</v>
      </c>
      <c r="G36" s="19">
        <f t="shared" si="15"/>
        <v>0</v>
      </c>
      <c r="H36" s="19">
        <f t="shared" si="15"/>
        <v>0</v>
      </c>
      <c r="I36" s="19">
        <f t="shared" si="15"/>
        <v>0</v>
      </c>
      <c r="J36" s="19">
        <f t="shared" si="15"/>
        <v>0</v>
      </c>
      <c r="K36" s="19">
        <f t="shared" si="15"/>
        <v>0</v>
      </c>
      <c r="L36" s="19">
        <f t="shared" si="15"/>
        <v>0</v>
      </c>
      <c r="M36" s="19">
        <f t="shared" si="15"/>
        <v>0</v>
      </c>
      <c r="N36" s="19">
        <f t="shared" si="15"/>
        <v>0</v>
      </c>
      <c r="O36" s="19">
        <f t="shared" si="15"/>
        <v>0</v>
      </c>
      <c r="P36" s="19">
        <f t="shared" si="15"/>
        <v>0</v>
      </c>
      <c r="Q36" s="19">
        <f>IFERROR(AVERAGE(D36:O36),0)</f>
        <v>0</v>
      </c>
    </row>
    <row r="37" ht="15.75" customHeight="1"/>
    <row r="38" ht="24.0" customHeight="1">
      <c r="B38" s="16" t="s">
        <v>44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ht="18.75" customHeight="1">
      <c r="B39" s="8" t="s">
        <v>45</v>
      </c>
      <c r="C39" s="9" t="s">
        <v>46</v>
      </c>
      <c r="D39" s="10">
        <v>0.0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f t="shared" ref="P39:P40" si="16">SUM(D39:O39)</f>
        <v>0</v>
      </c>
      <c r="Q39" s="12">
        <f t="shared" ref="Q39:Q40" si="17">IFERROR(AVERAGEIF(D39:O39,"&gt;0"),0)</f>
        <v>0</v>
      </c>
    </row>
    <row r="40" ht="18.75" customHeight="1">
      <c r="B40" s="8" t="s">
        <v>45</v>
      </c>
      <c r="C40" s="9" t="s">
        <v>47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1">
        <f t="shared" si="16"/>
        <v>0</v>
      </c>
      <c r="Q40" s="12">
        <f t="shared" si="17"/>
        <v>0</v>
      </c>
    </row>
    <row r="41" ht="21.75" customHeight="1">
      <c r="B41" s="17" t="s">
        <v>23</v>
      </c>
      <c r="C41" s="18"/>
      <c r="D41" s="19">
        <f t="shared" ref="D41:P41" si="18">SUM(D39:D40)</f>
        <v>0</v>
      </c>
      <c r="E41" s="19">
        <f t="shared" si="18"/>
        <v>0</v>
      </c>
      <c r="F41" s="19">
        <f t="shared" si="18"/>
        <v>0</v>
      </c>
      <c r="G41" s="19">
        <f t="shared" si="18"/>
        <v>0</v>
      </c>
      <c r="H41" s="19">
        <f t="shared" si="18"/>
        <v>0</v>
      </c>
      <c r="I41" s="19">
        <f t="shared" si="18"/>
        <v>0</v>
      </c>
      <c r="J41" s="19">
        <f t="shared" si="18"/>
        <v>0</v>
      </c>
      <c r="K41" s="19">
        <f t="shared" si="18"/>
        <v>0</v>
      </c>
      <c r="L41" s="19">
        <f t="shared" si="18"/>
        <v>0</v>
      </c>
      <c r="M41" s="19">
        <f t="shared" si="18"/>
        <v>0</v>
      </c>
      <c r="N41" s="19">
        <f t="shared" si="18"/>
        <v>0</v>
      </c>
      <c r="O41" s="19">
        <f t="shared" si="18"/>
        <v>0</v>
      </c>
      <c r="P41" s="19">
        <f t="shared" si="18"/>
        <v>0</v>
      </c>
      <c r="Q41" s="19">
        <f>IFERROR(AVERAGE(D41:O41),0)</f>
        <v>0</v>
      </c>
    </row>
    <row r="42" ht="15.75" customHeight="1"/>
    <row r="43" ht="24.0" customHeight="1">
      <c r="B43" s="16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</row>
    <row r="44" ht="18.75" customHeight="1">
      <c r="B44" s="8" t="s">
        <v>49</v>
      </c>
      <c r="C44" s="9" t="s">
        <v>50</v>
      </c>
      <c r="D44" s="10">
        <v>0.0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f t="shared" ref="P44:P47" si="19">SUM(D44:O44)</f>
        <v>0</v>
      </c>
      <c r="Q44" s="12">
        <f t="shared" ref="Q44:Q47" si="20">IFERROR(AVERAGEIF(D44:O44,"&gt;0"),0)</f>
        <v>0</v>
      </c>
    </row>
    <row r="45" ht="18.75" customHeight="1">
      <c r="B45" s="8" t="s">
        <v>49</v>
      </c>
      <c r="C45" s="9" t="s">
        <v>51</v>
      </c>
      <c r="D45" s="10">
        <v>0.0</v>
      </c>
      <c r="E45" s="10">
        <v>0.0</v>
      </c>
      <c r="F45" s="10">
        <v>0.0</v>
      </c>
      <c r="G45" s="10">
        <v>0.0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1">
        <f t="shared" si="19"/>
        <v>0</v>
      </c>
      <c r="Q45" s="12">
        <f t="shared" si="20"/>
        <v>0</v>
      </c>
    </row>
    <row r="46" ht="18.75" customHeight="1">
      <c r="B46" s="8" t="s">
        <v>49</v>
      </c>
      <c r="C46" s="9" t="s">
        <v>52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f t="shared" si="19"/>
        <v>0</v>
      </c>
      <c r="Q46" s="12">
        <f t="shared" si="20"/>
        <v>0</v>
      </c>
    </row>
    <row r="47" ht="18.75" customHeight="1">
      <c r="B47" s="8" t="s">
        <v>49</v>
      </c>
      <c r="C47" s="9" t="s">
        <v>29</v>
      </c>
      <c r="D47" s="10">
        <v>0.0</v>
      </c>
      <c r="E47" s="10">
        <v>0.0</v>
      </c>
      <c r="F47" s="10">
        <v>0.0</v>
      </c>
      <c r="G47" s="10">
        <v>0.0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1">
        <f t="shared" si="19"/>
        <v>0</v>
      </c>
      <c r="Q47" s="12">
        <f t="shared" si="20"/>
        <v>0</v>
      </c>
    </row>
    <row r="48" ht="21.75" customHeight="1">
      <c r="B48" s="17" t="s">
        <v>23</v>
      </c>
      <c r="C48" s="18"/>
      <c r="D48" s="19">
        <f t="shared" ref="D48:P48" si="21">SUM(D44:D47)</f>
        <v>0</v>
      </c>
      <c r="E48" s="19">
        <f t="shared" si="21"/>
        <v>0</v>
      </c>
      <c r="F48" s="19">
        <f t="shared" si="21"/>
        <v>0</v>
      </c>
      <c r="G48" s="19">
        <f t="shared" si="21"/>
        <v>0</v>
      </c>
      <c r="H48" s="19">
        <f t="shared" si="21"/>
        <v>0</v>
      </c>
      <c r="I48" s="19">
        <f t="shared" si="21"/>
        <v>0</v>
      </c>
      <c r="J48" s="19">
        <f t="shared" si="21"/>
        <v>0</v>
      </c>
      <c r="K48" s="19">
        <f t="shared" si="21"/>
        <v>0</v>
      </c>
      <c r="L48" s="19">
        <f t="shared" si="21"/>
        <v>0</v>
      </c>
      <c r="M48" s="19">
        <f t="shared" si="21"/>
        <v>0</v>
      </c>
      <c r="N48" s="19">
        <f t="shared" si="21"/>
        <v>0</v>
      </c>
      <c r="O48" s="19">
        <f t="shared" si="21"/>
        <v>0</v>
      </c>
      <c r="P48" s="19">
        <f t="shared" si="21"/>
        <v>0</v>
      </c>
      <c r="Q48" s="19">
        <f>IFERROR(AVERAGE(D48:O48),0)</f>
        <v>0</v>
      </c>
    </row>
    <row r="49" ht="15.75" customHeight="1"/>
    <row r="50" ht="24.0" customHeight="1">
      <c r="B50" s="16" t="s">
        <v>53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</row>
    <row r="51" ht="18.75" customHeight="1">
      <c r="B51" s="8" t="s">
        <v>29</v>
      </c>
      <c r="C51" s="9" t="s">
        <v>54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f t="shared" ref="P51:P53" si="23">SUM(D51:O51)</f>
        <v>0</v>
      </c>
      <c r="Q51" s="12">
        <f t="shared" ref="Q51:Q53" si="24">IFERROR(AVERAGEIF(D51:O51,"&gt;0"),0)</f>
        <v>0</v>
      </c>
    </row>
    <row r="52" ht="18.75" customHeight="1">
      <c r="B52" s="8" t="s">
        <v>29</v>
      </c>
      <c r="C52" s="9" t="s">
        <v>55</v>
      </c>
      <c r="D52" s="10">
        <f t="shared" ref="D52:O52" si="22">D10*0.1</f>
        <v>0</v>
      </c>
      <c r="E52" s="10">
        <f t="shared" si="22"/>
        <v>0</v>
      </c>
      <c r="F52" s="10">
        <f t="shared" si="22"/>
        <v>0</v>
      </c>
      <c r="G52" s="10">
        <f t="shared" si="22"/>
        <v>0</v>
      </c>
      <c r="H52" s="10">
        <f t="shared" si="22"/>
        <v>0</v>
      </c>
      <c r="I52" s="10">
        <f t="shared" si="22"/>
        <v>0</v>
      </c>
      <c r="J52" s="10">
        <f t="shared" si="22"/>
        <v>0</v>
      </c>
      <c r="K52" s="10">
        <f t="shared" si="22"/>
        <v>0</v>
      </c>
      <c r="L52" s="10">
        <f t="shared" si="22"/>
        <v>0</v>
      </c>
      <c r="M52" s="10">
        <f t="shared" si="22"/>
        <v>0</v>
      </c>
      <c r="N52" s="10">
        <f t="shared" si="22"/>
        <v>0</v>
      </c>
      <c r="O52" s="10">
        <f t="shared" si="22"/>
        <v>0</v>
      </c>
      <c r="P52" s="11">
        <f t="shared" si="23"/>
        <v>0</v>
      </c>
      <c r="Q52" s="12">
        <f t="shared" si="24"/>
        <v>0</v>
      </c>
    </row>
    <row r="53" ht="18.75" customHeight="1">
      <c r="B53" s="8" t="s">
        <v>29</v>
      </c>
      <c r="C53" s="9" t="s">
        <v>56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1">
        <f t="shared" si="23"/>
        <v>0</v>
      </c>
      <c r="Q53" s="12">
        <f t="shared" si="24"/>
        <v>0</v>
      </c>
    </row>
    <row r="54" ht="21.75" customHeight="1">
      <c r="B54" s="17" t="s">
        <v>23</v>
      </c>
      <c r="C54" s="18"/>
      <c r="D54" s="19">
        <f t="shared" ref="D54:P54" si="25">SUM(D51:D53)</f>
        <v>0</v>
      </c>
      <c r="E54" s="19">
        <f t="shared" si="25"/>
        <v>0</v>
      </c>
      <c r="F54" s="19">
        <f t="shared" si="25"/>
        <v>0</v>
      </c>
      <c r="G54" s="19">
        <f t="shared" si="25"/>
        <v>0</v>
      </c>
      <c r="H54" s="19">
        <f t="shared" si="25"/>
        <v>0</v>
      </c>
      <c r="I54" s="19">
        <f t="shared" si="25"/>
        <v>0</v>
      </c>
      <c r="J54" s="19">
        <f t="shared" si="25"/>
        <v>0</v>
      </c>
      <c r="K54" s="19">
        <f t="shared" si="25"/>
        <v>0</v>
      </c>
      <c r="L54" s="19">
        <f t="shared" si="25"/>
        <v>0</v>
      </c>
      <c r="M54" s="19">
        <f t="shared" si="25"/>
        <v>0</v>
      </c>
      <c r="N54" s="19">
        <f t="shared" si="25"/>
        <v>0</v>
      </c>
      <c r="O54" s="19">
        <f t="shared" si="25"/>
        <v>0</v>
      </c>
      <c r="P54" s="19">
        <f t="shared" si="25"/>
        <v>0</v>
      </c>
      <c r="Q54" s="19">
        <f>IFERROR(AVERAGE(D54:O54),0)</f>
        <v>0</v>
      </c>
    </row>
    <row r="55" ht="15.75" customHeight="1"/>
    <row r="56" ht="15.75" customHeight="1"/>
    <row r="57" ht="27.75" customHeight="1">
      <c r="B57" s="20" t="s">
        <v>57</v>
      </c>
      <c r="C57" s="21"/>
      <c r="D57" s="22">
        <f t="shared" ref="D57:P57" si="26">D17+D23+D30+D36+D41+D48+D54</f>
        <v>0</v>
      </c>
      <c r="E57" s="22">
        <f t="shared" si="26"/>
        <v>0</v>
      </c>
      <c r="F57" s="22">
        <f t="shared" si="26"/>
        <v>0</v>
      </c>
      <c r="G57" s="22">
        <f t="shared" si="26"/>
        <v>0</v>
      </c>
      <c r="H57" s="22">
        <f t="shared" si="26"/>
        <v>0</v>
      </c>
      <c r="I57" s="22">
        <f t="shared" si="26"/>
        <v>0</v>
      </c>
      <c r="J57" s="22">
        <f t="shared" si="26"/>
        <v>0</v>
      </c>
      <c r="K57" s="22">
        <f t="shared" si="26"/>
        <v>0</v>
      </c>
      <c r="L57" s="22">
        <f t="shared" si="26"/>
        <v>0</v>
      </c>
      <c r="M57" s="22">
        <f t="shared" si="26"/>
        <v>0</v>
      </c>
      <c r="N57" s="22">
        <f t="shared" si="26"/>
        <v>0</v>
      </c>
      <c r="O57" s="22">
        <f t="shared" si="26"/>
        <v>0</v>
      </c>
      <c r="P57" s="22">
        <f t="shared" si="26"/>
        <v>0</v>
      </c>
      <c r="Q57" s="22">
        <f>IFERROR(AVERAGE(D57:O57),0)</f>
        <v>0</v>
      </c>
    </row>
    <row r="58" ht="15.75" customHeight="1"/>
    <row r="59" ht="24.0" customHeight="1">
      <c r="B59" s="23" t="s">
        <v>58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</row>
    <row r="60" ht="18.75" customHeight="1">
      <c r="B60" s="8" t="s">
        <v>59</v>
      </c>
      <c r="C60" s="9" t="s">
        <v>60</v>
      </c>
      <c r="D60" s="10">
        <v>0.0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1">
        <f t="shared" ref="P60:P62" si="27">SUM(D60:O60)</f>
        <v>0</v>
      </c>
      <c r="Q60" s="12">
        <f t="shared" ref="Q60:Q62" si="28">IFERROR(AVERAGEIF(D60:O60,"&gt;0"),0)</f>
        <v>0</v>
      </c>
    </row>
    <row r="61" ht="18.75" customHeight="1">
      <c r="B61" s="8" t="s">
        <v>59</v>
      </c>
      <c r="C61" s="9" t="s">
        <v>61</v>
      </c>
      <c r="D61" s="10">
        <v>0.0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>
        <v>0.0</v>
      </c>
      <c r="M61" s="10">
        <v>0.0</v>
      </c>
      <c r="N61" s="10">
        <v>0.0</v>
      </c>
      <c r="O61" s="10">
        <v>0.0</v>
      </c>
      <c r="P61" s="11">
        <f t="shared" si="27"/>
        <v>0</v>
      </c>
      <c r="Q61" s="12">
        <f t="shared" si="28"/>
        <v>0</v>
      </c>
    </row>
    <row r="62" ht="18.75" customHeight="1">
      <c r="B62" s="8" t="s">
        <v>59</v>
      </c>
      <c r="C62" s="9" t="s">
        <v>62</v>
      </c>
      <c r="D62" s="10">
        <v>0.0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1">
        <f t="shared" si="27"/>
        <v>0</v>
      </c>
      <c r="Q62" s="12">
        <f t="shared" si="28"/>
        <v>0</v>
      </c>
    </row>
    <row r="63" ht="21.75" customHeight="1">
      <c r="B63" s="17" t="s">
        <v>23</v>
      </c>
      <c r="C63" s="18"/>
      <c r="D63" s="19">
        <f t="shared" ref="D63:P63" si="29">SUM(D60:D62)</f>
        <v>0</v>
      </c>
      <c r="E63" s="19">
        <f t="shared" si="29"/>
        <v>0</v>
      </c>
      <c r="F63" s="19">
        <f t="shared" si="29"/>
        <v>0</v>
      </c>
      <c r="G63" s="19">
        <f t="shared" si="29"/>
        <v>0</v>
      </c>
      <c r="H63" s="19">
        <f t="shared" si="29"/>
        <v>0</v>
      </c>
      <c r="I63" s="19">
        <f t="shared" si="29"/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0</v>
      </c>
      <c r="P63" s="19">
        <f t="shared" si="29"/>
        <v>0</v>
      </c>
      <c r="Q63" s="19">
        <f>IFERROR(AVERAGE(D63:O63),0)</f>
        <v>0</v>
      </c>
    </row>
    <row r="64" ht="15.75" customHeight="1"/>
    <row r="65" ht="15.75" customHeight="1"/>
    <row r="66" ht="30.0" customHeight="1">
      <c r="B66" s="24" t="s">
        <v>63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 ht="21.75" customHeight="1">
      <c r="B67" s="26" t="s">
        <v>64</v>
      </c>
      <c r="C67" s="27" t="s">
        <v>65</v>
      </c>
      <c r="D67" s="19">
        <f t="shared" ref="D67:P67" si="30">D10-D57-D63</f>
        <v>0</v>
      </c>
      <c r="E67" s="19">
        <f t="shared" si="30"/>
        <v>0</v>
      </c>
      <c r="F67" s="19">
        <f t="shared" si="30"/>
        <v>0</v>
      </c>
      <c r="G67" s="19">
        <f t="shared" si="30"/>
        <v>0</v>
      </c>
      <c r="H67" s="19">
        <f t="shared" si="30"/>
        <v>0</v>
      </c>
      <c r="I67" s="19">
        <f t="shared" si="30"/>
        <v>0</v>
      </c>
      <c r="J67" s="19">
        <f t="shared" si="30"/>
        <v>0</v>
      </c>
      <c r="K67" s="19">
        <f t="shared" si="30"/>
        <v>0</v>
      </c>
      <c r="L67" s="19">
        <f t="shared" si="30"/>
        <v>0</v>
      </c>
      <c r="M67" s="19">
        <f t="shared" si="30"/>
        <v>0</v>
      </c>
      <c r="N67" s="19">
        <f t="shared" si="30"/>
        <v>0</v>
      </c>
      <c r="O67" s="19">
        <f t="shared" si="30"/>
        <v>0</v>
      </c>
      <c r="P67" s="28">
        <f t="shared" si="30"/>
        <v>0</v>
      </c>
      <c r="Q67" s="19">
        <f t="shared" ref="Q67:Q68" si="32">IFERROR(AVERAGE(D67:O67),0)</f>
        <v>0</v>
      </c>
    </row>
    <row r="68" ht="21.75" customHeight="1">
      <c r="B68" s="26" t="s">
        <v>66</v>
      </c>
      <c r="C68" s="27" t="s">
        <v>67</v>
      </c>
      <c r="D68" s="29">
        <f t="shared" ref="D68:P68" si="31">IFERROR(D63/D10,0)</f>
        <v>0</v>
      </c>
      <c r="E68" s="29">
        <f t="shared" si="31"/>
        <v>0</v>
      </c>
      <c r="F68" s="29">
        <f t="shared" si="31"/>
        <v>0</v>
      </c>
      <c r="G68" s="29">
        <f t="shared" si="31"/>
        <v>0</v>
      </c>
      <c r="H68" s="29">
        <f t="shared" si="31"/>
        <v>0</v>
      </c>
      <c r="I68" s="29">
        <f t="shared" si="31"/>
        <v>0</v>
      </c>
      <c r="J68" s="29">
        <f t="shared" si="31"/>
        <v>0</v>
      </c>
      <c r="K68" s="29">
        <f t="shared" si="31"/>
        <v>0</v>
      </c>
      <c r="L68" s="29">
        <f t="shared" si="31"/>
        <v>0</v>
      </c>
      <c r="M68" s="29">
        <f t="shared" si="31"/>
        <v>0</v>
      </c>
      <c r="N68" s="29">
        <f t="shared" si="31"/>
        <v>0</v>
      </c>
      <c r="O68" s="29">
        <f t="shared" si="31"/>
        <v>0</v>
      </c>
      <c r="P68" s="30">
        <f t="shared" si="31"/>
        <v>0</v>
      </c>
      <c r="Q68" s="29">
        <f t="shared" si="32"/>
        <v>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8:Q38"/>
    <mergeCell ref="B43:Q43"/>
    <mergeCell ref="B50:Q50"/>
    <mergeCell ref="B59:Q59"/>
    <mergeCell ref="B1:C1"/>
    <mergeCell ref="D1:Q1"/>
    <mergeCell ref="B5:Q5"/>
    <mergeCell ref="B12:Q12"/>
    <mergeCell ref="B19:Q19"/>
    <mergeCell ref="B25:Q25"/>
    <mergeCell ref="B32:Q32"/>
  </mergeCells>
  <printOptions horizontalCentered="1"/>
  <pageMargins bottom="0.3" footer="0.0" header="0.0" left="0.3" right="0.3" top="0.3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18.0"/>
    <col customWidth="1" min="9" max="9" width="2.0"/>
    <col customWidth="1" min="10" max="26" width="8.71"/>
  </cols>
  <sheetData>
    <row r="1" ht="154.5" customHeight="1">
      <c r="A1" s="31"/>
      <c r="B1" s="31"/>
      <c r="C1" s="31"/>
      <c r="D1" s="31"/>
      <c r="E1" s="31"/>
      <c r="F1" s="31"/>
      <c r="G1" s="31"/>
      <c r="H1" s="31"/>
      <c r="I1" s="31"/>
      <c r="J1" s="31"/>
    </row>
    <row r="2" ht="27.75" customHeight="1">
      <c r="A2" s="31"/>
      <c r="B2" s="31"/>
      <c r="C2" s="31"/>
      <c r="D2" s="31"/>
      <c r="E2" s="31"/>
      <c r="F2" s="31"/>
      <c r="G2" s="31"/>
      <c r="H2" s="31"/>
      <c r="I2" s="31"/>
      <c r="J2" s="31"/>
    </row>
    <row r="3" ht="16.5" customHeight="1">
      <c r="A3" s="32"/>
      <c r="B3" s="33" t="s">
        <v>14</v>
      </c>
      <c r="C3" s="7"/>
      <c r="D3" s="34" t="s">
        <v>68</v>
      </c>
      <c r="E3" s="7"/>
      <c r="F3" s="35" t="s">
        <v>69</v>
      </c>
      <c r="G3" s="7"/>
      <c r="H3" s="36" t="s">
        <v>70</v>
      </c>
      <c r="I3" s="32"/>
      <c r="J3" s="32"/>
    </row>
    <row r="4" ht="31.5" customHeight="1">
      <c r="A4" s="32"/>
      <c r="B4" s="37">
        <f>SUM('Meu Mês'!D10:O10)</f>
        <v>0</v>
      </c>
      <c r="C4" s="7"/>
      <c r="D4" s="38">
        <f>SUM('Meu Mês'!D57:O57)</f>
        <v>0</v>
      </c>
      <c r="E4" s="7"/>
      <c r="F4" s="39">
        <f>SUM('Meu Mês'!D63:O63)</f>
        <v>0</v>
      </c>
      <c r="G4" s="7"/>
      <c r="H4" s="40">
        <f>SUM('Meu Mês'!D67:O67)</f>
        <v>0</v>
      </c>
      <c r="I4" s="32"/>
      <c r="J4" s="32"/>
    </row>
    <row r="5" ht="6.0" customHeight="1">
      <c r="A5" s="32"/>
      <c r="B5" s="32"/>
      <c r="C5" s="32"/>
      <c r="D5" s="32"/>
      <c r="E5" s="32"/>
      <c r="F5" s="32"/>
      <c r="G5" s="32"/>
      <c r="H5" s="32"/>
      <c r="I5" s="32"/>
      <c r="J5" s="32"/>
    </row>
    <row r="6" ht="13.5" customHeight="1">
      <c r="A6" s="32"/>
      <c r="B6" s="32"/>
      <c r="C6" s="32"/>
      <c r="D6" s="32"/>
      <c r="E6" s="32"/>
      <c r="F6" s="32"/>
      <c r="G6" s="32"/>
      <c r="H6" s="32"/>
      <c r="I6" s="32"/>
      <c r="J6" s="32"/>
    </row>
    <row r="8" ht="24.0" customHeight="1">
      <c r="A8" s="32"/>
      <c r="B8" s="41" t="s">
        <v>71</v>
      </c>
      <c r="E8" s="32"/>
      <c r="F8" s="41" t="s">
        <v>72</v>
      </c>
      <c r="I8" s="32"/>
      <c r="J8" s="32"/>
    </row>
    <row r="10" ht="15.0" customHeight="1">
      <c r="A10" s="32"/>
      <c r="B10" s="42" t="s">
        <v>73</v>
      </c>
      <c r="C10" s="43" t="s">
        <v>74</v>
      </c>
      <c r="D10" s="43" t="s">
        <v>75</v>
      </c>
      <c r="E10" s="32"/>
      <c r="F10" s="42" t="s">
        <v>76</v>
      </c>
      <c r="G10" s="43" t="s">
        <v>77</v>
      </c>
      <c r="H10" s="43" t="s">
        <v>78</v>
      </c>
      <c r="I10" s="32"/>
      <c r="J10" s="32"/>
    </row>
    <row r="11" ht="15.0" customHeight="1">
      <c r="A11" s="32"/>
      <c r="B11" s="44" t="s">
        <v>25</v>
      </c>
      <c r="C11" s="45">
        <f>SUM('Meu Mês'!D17:O17)</f>
        <v>0</v>
      </c>
      <c r="D11" s="46">
        <f t="shared" ref="D11:D17" si="1">IFERROR(C11/SUM($C$11:$C$17),0)</f>
        <v>0</v>
      </c>
      <c r="E11" s="32"/>
      <c r="F11" s="44" t="s">
        <v>0</v>
      </c>
      <c r="G11" s="45">
        <f>'Meu Mês'!D10</f>
        <v>0</v>
      </c>
      <c r="H11" s="47">
        <f>'Meu Mês'!D57</f>
        <v>0</v>
      </c>
      <c r="I11" s="32"/>
      <c r="J11" s="32"/>
    </row>
    <row r="12" ht="15.0" customHeight="1">
      <c r="A12" s="32"/>
      <c r="B12" s="48" t="s">
        <v>31</v>
      </c>
      <c r="C12" s="45">
        <f>SUM('Meu Mês'!D23:O23)</f>
        <v>0</v>
      </c>
      <c r="D12" s="49">
        <f t="shared" si="1"/>
        <v>0</v>
      </c>
      <c r="E12" s="32"/>
      <c r="F12" s="48" t="s">
        <v>1</v>
      </c>
      <c r="G12" s="45">
        <f>'Meu Mês'!E10</f>
        <v>0</v>
      </c>
      <c r="H12" s="50">
        <f>'Meu Mês'!E57</f>
        <v>0</v>
      </c>
      <c r="I12" s="32"/>
      <c r="J12" s="32"/>
    </row>
    <row r="13" ht="15.0" customHeight="1">
      <c r="A13" s="32"/>
      <c r="B13" s="44" t="s">
        <v>35</v>
      </c>
      <c r="C13" s="45">
        <f>SUM('Meu Mês'!D30:O30)</f>
        <v>0</v>
      </c>
      <c r="D13" s="46">
        <f t="shared" si="1"/>
        <v>0</v>
      </c>
      <c r="E13" s="32"/>
      <c r="F13" s="44" t="s">
        <v>2</v>
      </c>
      <c r="G13" s="45">
        <f>'Meu Mês'!F10</f>
        <v>0</v>
      </c>
      <c r="H13" s="47">
        <f>'Meu Mês'!F57</f>
        <v>0</v>
      </c>
      <c r="I13" s="32"/>
      <c r="J13" s="32"/>
    </row>
    <row r="14" ht="15.0" customHeight="1">
      <c r="A14" s="32"/>
      <c r="B14" s="48" t="s">
        <v>79</v>
      </c>
      <c r="C14" s="45">
        <f>SUM('Meu Mês'!D36:O36)</f>
        <v>0</v>
      </c>
      <c r="D14" s="49">
        <f t="shared" si="1"/>
        <v>0</v>
      </c>
      <c r="E14" s="32"/>
      <c r="F14" s="48" t="s">
        <v>3</v>
      </c>
      <c r="G14" s="45">
        <f>'Meu Mês'!G10</f>
        <v>0</v>
      </c>
      <c r="H14" s="50">
        <f>'Meu Mês'!G57</f>
        <v>0</v>
      </c>
      <c r="I14" s="32"/>
      <c r="J14" s="32"/>
    </row>
    <row r="15" ht="15.0" customHeight="1">
      <c r="A15" s="32"/>
      <c r="B15" s="44" t="s">
        <v>45</v>
      </c>
      <c r="C15" s="45">
        <f>SUM('Meu Mês'!D41:O41)</f>
        <v>0</v>
      </c>
      <c r="D15" s="46">
        <f t="shared" si="1"/>
        <v>0</v>
      </c>
      <c r="E15" s="32"/>
      <c r="F15" s="44" t="s">
        <v>4</v>
      </c>
      <c r="G15" s="45">
        <f>'Meu Mês'!H10</f>
        <v>0</v>
      </c>
      <c r="H15" s="47">
        <f>'Meu Mês'!H57</f>
        <v>0</v>
      </c>
      <c r="I15" s="32"/>
      <c r="J15" s="32"/>
    </row>
    <row r="16" ht="15.0" customHeight="1">
      <c r="A16" s="32"/>
      <c r="B16" s="48" t="s">
        <v>80</v>
      </c>
      <c r="C16" s="45">
        <f>SUM('Meu Mês'!D48:O48)</f>
        <v>0</v>
      </c>
      <c r="D16" s="49">
        <f t="shared" si="1"/>
        <v>0</v>
      </c>
      <c r="E16" s="32"/>
      <c r="F16" s="48" t="s">
        <v>5</v>
      </c>
      <c r="G16" s="45">
        <f>'Meu Mês'!I10</f>
        <v>0</v>
      </c>
      <c r="H16" s="50">
        <f>'Meu Mês'!I57</f>
        <v>0</v>
      </c>
      <c r="I16" s="32"/>
      <c r="J16" s="32"/>
    </row>
    <row r="17" ht="15.0" customHeight="1">
      <c r="B17" s="44" t="s">
        <v>29</v>
      </c>
      <c r="C17" s="45">
        <f>SUM('Meu Mês'!D54:O54)</f>
        <v>0</v>
      </c>
      <c r="D17" s="46">
        <f t="shared" si="1"/>
        <v>0</v>
      </c>
      <c r="E17" s="32"/>
      <c r="F17" s="44" t="s">
        <v>6</v>
      </c>
      <c r="G17" s="45">
        <f>'Meu Mês'!J10</f>
        <v>0</v>
      </c>
      <c r="H17" s="47">
        <f>'Meu Mês'!J57</f>
        <v>0</v>
      </c>
    </row>
    <row r="18" ht="15.0" customHeight="1">
      <c r="B18" s="32"/>
      <c r="C18" s="32"/>
      <c r="D18" s="32"/>
      <c r="E18" s="32"/>
      <c r="F18" s="48" t="s">
        <v>7</v>
      </c>
      <c r="G18" s="45">
        <f>'Meu Mês'!K10</f>
        <v>0</v>
      </c>
      <c r="H18" s="50">
        <f>'Meu Mês'!K57</f>
        <v>0</v>
      </c>
    </row>
    <row r="19" ht="15.0" customHeight="1">
      <c r="B19" s="32"/>
      <c r="C19" s="32"/>
      <c r="D19" s="32"/>
      <c r="E19" s="32"/>
      <c r="F19" s="44" t="s">
        <v>8</v>
      </c>
      <c r="G19" s="45">
        <f>'Meu Mês'!L10</f>
        <v>0</v>
      </c>
      <c r="H19" s="47">
        <f>'Meu Mês'!L57</f>
        <v>0</v>
      </c>
    </row>
    <row r="20" ht="15.0" customHeight="1">
      <c r="B20" s="32"/>
      <c r="C20" s="32"/>
      <c r="D20" s="32"/>
      <c r="E20" s="32"/>
      <c r="F20" s="48" t="s">
        <v>9</v>
      </c>
      <c r="G20" s="45">
        <f>'Meu Mês'!M10</f>
        <v>0</v>
      </c>
      <c r="H20" s="50">
        <f>'Meu Mês'!M57</f>
        <v>0</v>
      </c>
    </row>
    <row r="21" ht="15.0" customHeight="1">
      <c r="B21" s="32"/>
      <c r="C21" s="32"/>
      <c r="D21" s="32"/>
      <c r="E21" s="32"/>
      <c r="F21" s="44" t="s">
        <v>10</v>
      </c>
      <c r="G21" s="45">
        <f>'Meu Mês'!N10</f>
        <v>0</v>
      </c>
      <c r="H21" s="47">
        <f>'Meu Mês'!N57</f>
        <v>0</v>
      </c>
    </row>
    <row r="22" ht="15.0" customHeight="1">
      <c r="B22" s="32"/>
      <c r="C22" s="32"/>
      <c r="D22" s="32"/>
      <c r="E22" s="32"/>
      <c r="F22" s="48" t="s">
        <v>11</v>
      </c>
      <c r="G22" s="45">
        <f>'Meu Mês'!O10</f>
        <v>0</v>
      </c>
      <c r="H22" s="50">
        <f>'Meu Mês'!O57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30.0" customHeight="1">
      <c r="B40" s="51" t="s">
        <v>81</v>
      </c>
      <c r="C40" s="32"/>
      <c r="D40" s="32"/>
      <c r="E40" s="32"/>
      <c r="F40" s="32"/>
      <c r="G40" s="32"/>
      <c r="H40" s="32"/>
    </row>
    <row r="41" ht="15.0" customHeight="1">
      <c r="B41" s="52" t="s">
        <v>82</v>
      </c>
      <c r="C41" s="32"/>
      <c r="D41" s="32"/>
      <c r="E41" s="32"/>
      <c r="F41" s="32"/>
      <c r="G41" s="32"/>
      <c r="H41" s="32"/>
    </row>
    <row r="42" ht="15.75" customHeight="1"/>
    <row r="43" ht="21.75" customHeight="1">
      <c r="B43" s="53" t="s">
        <v>83</v>
      </c>
      <c r="C43" s="32"/>
      <c r="D43" s="53" t="s">
        <v>84</v>
      </c>
      <c r="E43" s="32"/>
      <c r="F43" s="53" t="s">
        <v>85</v>
      </c>
      <c r="G43" s="32"/>
      <c r="H43" s="53" t="s">
        <v>86</v>
      </c>
    </row>
    <row r="44" ht="21.75" customHeight="1">
      <c r="B44" s="54">
        <f>H4</f>
        <v>0</v>
      </c>
      <c r="C44" s="32"/>
      <c r="D44" s="55">
        <f>IFERROR(H4/B4,0)</f>
        <v>0</v>
      </c>
      <c r="E44" s="32"/>
      <c r="F44" s="56">
        <f>IFERROR(F4/H4,0)</f>
        <v>0</v>
      </c>
      <c r="G44" s="32"/>
      <c r="H44" s="57">
        <f>H4/12</f>
        <v>0</v>
      </c>
    </row>
    <row r="45" ht="21.75" customHeight="1">
      <c r="B45" s="58" t="s">
        <v>87</v>
      </c>
      <c r="C45" s="32"/>
      <c r="D45" s="58" t="s">
        <v>88</v>
      </c>
      <c r="E45" s="32"/>
      <c r="F45" s="58" t="s">
        <v>89</v>
      </c>
      <c r="G45" s="32"/>
      <c r="H45" s="58" t="s">
        <v>90</v>
      </c>
    </row>
    <row r="46" ht="15.75" customHeight="1"/>
    <row r="47" ht="43.5" customHeight="1">
      <c r="B47" s="59" t="s">
        <v>91</v>
      </c>
      <c r="C47" s="6"/>
      <c r="D47" s="6"/>
      <c r="E47" s="6"/>
      <c r="F47" s="6"/>
      <c r="G47" s="6"/>
      <c r="H47" s="7"/>
    </row>
    <row r="48" ht="15.0" customHeight="1">
      <c r="B48" s="60" t="s">
        <v>92</v>
      </c>
      <c r="C48" s="61" t="str">
        <f>IF(B44&lt;0,"⚠ Atenção: você gastou mais do que ganhou no ano",IF(D44&gt;=0.2,"✓ Excelente — você está poupando mais de 20% do que ganha",IF(D44&gt;=0.1,"○ Boa — taxa de poupança saudável, dá pra otimizar",IF(D44&gt;0,"△ Apertada — sobrou pouco, vale revisar despesas","⚠ Você não conseguiu poupar nada esse ano"))))</f>
        <v>⚠ Você não conseguiu poupar nada esse ano</v>
      </c>
      <c r="D48" s="32"/>
      <c r="E48" s="32"/>
      <c r="F48" s="32"/>
      <c r="G48" s="32"/>
      <c r="H48" s="32"/>
    </row>
    <row r="49" ht="15.0" customHeight="1">
      <c r="A49" s="32"/>
      <c r="B49" s="60" t="s">
        <v>93</v>
      </c>
      <c r="C49" s="61" t="str">
        <f>IF(H4&lt;=0,"—",IF(F44&gt;=0.7,"✓ Você está fazendo o dinheiro trabalhar — ótima alocação em investimentos",IF(F44&gt;=0.4,"○ Boa parte da sobra virou investimento, mas dá pra mais",IF(F44&gt;0,"△ Pouco da sobra está sendo investido — o resto pode estar parado","⚠ Nada da sua sobra foi investido esse ano"))))</f>
        <v>—</v>
      </c>
      <c r="D49" s="32"/>
      <c r="E49" s="32"/>
      <c r="F49" s="32"/>
      <c r="G49" s="32"/>
      <c r="H49" s="32"/>
      <c r="I49" s="32"/>
      <c r="J49" s="32"/>
    </row>
    <row r="50" ht="15.75" customHeight="1">
      <c r="A50" s="32"/>
      <c r="B50" s="60" t="s">
        <v>94</v>
      </c>
      <c r="C50" s="62" t="str">
        <f t="array" ref="C50">INDEX(F11:F22,MATCH(MAX(G11:G22-H11:H22),G11:G22-H11:H22,0))&amp;"  ·  "&amp;TEXT(MAX(G11:G22-H11:H22),"R$ #,##0")</f>
        <v>Jan  ·  R$ 0</v>
      </c>
      <c r="D50" s="32"/>
      <c r="E50" s="32"/>
      <c r="F50" s="32"/>
      <c r="G50" s="32"/>
      <c r="H50" s="32"/>
      <c r="I50" s="32"/>
      <c r="J50" s="32"/>
    </row>
    <row r="51" ht="15.75" customHeight="1">
      <c r="A51" s="32"/>
      <c r="B51" s="60" t="s">
        <v>95</v>
      </c>
      <c r="C51" s="63" t="str">
        <f t="array" ref="C51">INDEX(F11:F22,MATCH(MIN(G11:G22-H11:H22),G11:G22-H11:H22,0))&amp;"  ·  "&amp;TEXT(MIN(G11:G22-H11:H22),"R$ #,##0")</f>
        <v>Jan  ·  R$ 0</v>
      </c>
      <c r="D51" s="32"/>
      <c r="E51" s="32"/>
      <c r="F51" s="32"/>
      <c r="G51" s="32"/>
      <c r="H51" s="32"/>
      <c r="I51" s="32"/>
      <c r="J51" s="32"/>
    </row>
    <row r="52" ht="16.5" customHeight="1">
      <c r="A52" s="32"/>
      <c r="B52" s="60" t="s">
        <v>96</v>
      </c>
      <c r="C52" s="64" t="str">
        <f t="array" ref="C52">INDEX(B11:B17,MATCH(MAX(C11:C17),C11:C17,0))&amp;"  ·  "&amp;TEXT(MAX(C11:C17),"R$ #,##0")&amp;"  ("&amp;TEXT(MAX(D11:D17),"0.0%")&amp;")"</f>
        <v>Moradia  ·  R$ 0  (0.0%)</v>
      </c>
      <c r="D52" s="32"/>
      <c r="E52" s="32"/>
      <c r="F52" s="32"/>
      <c r="G52" s="32"/>
      <c r="H52" s="32"/>
      <c r="I52" s="32"/>
      <c r="J52" s="32"/>
    </row>
    <row r="53" ht="21.75" customHeight="1">
      <c r="A53" s="32"/>
      <c r="B53" s="65"/>
      <c r="I53" s="32"/>
      <c r="J53" s="32"/>
    </row>
    <row r="54" ht="15.75" customHeight="1"/>
    <row r="55" ht="15.75" customHeight="1"/>
    <row r="56" ht="13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</row>
    <row r="57" ht="13.5" customHeight="1">
      <c r="A57" s="32"/>
      <c r="B57" s="66" t="s">
        <v>97</v>
      </c>
      <c r="I57" s="32"/>
      <c r="J57" s="32"/>
    </row>
    <row r="58" ht="13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8:H8"/>
    <mergeCell ref="B47:H47"/>
    <mergeCell ref="B53:H53"/>
    <mergeCell ref="B57:H57"/>
    <mergeCell ref="B3:C3"/>
    <mergeCell ref="D3:E3"/>
    <mergeCell ref="F3:G3"/>
    <mergeCell ref="B4:C4"/>
    <mergeCell ref="D4:E4"/>
    <mergeCell ref="F4:G4"/>
    <mergeCell ref="B8:D8"/>
  </mergeCells>
  <printOptions horizontalCentered="1"/>
  <pageMargins bottom="0.19685039370078738" footer="0.0" header="0.0" left="0.19685039370078738" right="0.19685039370078738" top="0.1968503937007873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2026-05-06T17:47:47Z</dcterms:created>
  <dc:creator>openpyxl</dc:creator>
</cp:coreProperties>
</file>